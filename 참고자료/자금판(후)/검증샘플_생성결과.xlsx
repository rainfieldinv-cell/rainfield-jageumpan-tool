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이자지급 스케줄" state="visible" r:id="rId4"/>
  </sheets>
  <calcPr calcId="171027" fullCalcOnLoad="1"/>
</workbook>
</file>

<file path=xl/sharedStrings.xml><?xml version="1.0" encoding="utf-8"?>
<sst xmlns="http://schemas.openxmlformats.org/spreadsheetml/2006/main" count="45" uniqueCount="38">
  <si>
    <t>부성2지구 담보대출 사모사채</t>
  </si>
  <si>
    <t>비고</t>
  </si>
  <si>
    <t>사모사채 인수대금 납입 계좌</t>
  </si>
  <si>
    <t>사모사채 발행일</t>
  </si>
  <si>
    <t>발행 유형</t>
  </si>
  <si>
    <t>실물발행</t>
  </si>
  <si>
    <t>인수인: 청주저축은행</t>
  </si>
  <si>
    <t>사모사채 발행금액(원)</t>
  </si>
  <si>
    <t>은행명</t>
  </si>
  <si>
    <t>계좌번호</t>
  </si>
  <si>
    <t>예금주</t>
  </si>
  <si>
    <t>사모사채 발행금리</t>
  </si>
  <si>
    <t>고정금리(세전)</t>
  </si>
  <si>
    <t>하나은행</t>
  </si>
  <si>
    <t>940-910034-05605</t>
  </si>
  <si>
    <t>레인필드부성 주식회사</t>
  </si>
  <si>
    <t>사모사채 인수수수료(원)</t>
  </si>
  <si>
    <t>인수금액의 2.0%</t>
  </si>
  <si>
    <t>이자지급일</t>
  </si>
  <si>
    <t>3개월 후취</t>
  </si>
  <si>
    <t xml:space="preserve">3개월 해당월의 23일
영업일이 아닌 경우 익영업일</t>
  </si>
  <si>
    <t>만기일</t>
  </si>
  <si>
    <t>(단위 : 원)</t>
  </si>
  <si>
    <t xml:space="preserve"> ▶ 사모사채 이자지급스케줄</t>
  </si>
  <si>
    <t>구분</t>
  </si>
  <si>
    <t>이자기간(초일)</t>
  </si>
  <si>
    <t>이자기간(말일)</t>
  </si>
  <si>
    <t>이자지급일(후취)</t>
  </si>
  <si>
    <t>이자계산일수</t>
  </si>
  <si>
    <t>윤년미적용</t>
  </si>
  <si>
    <t>윤년적용</t>
  </si>
  <si>
    <t>금리(연)</t>
  </si>
  <si>
    <t>인출금액</t>
  </si>
  <si>
    <t>이자금액(세전)</t>
  </si>
  <si>
    <t>인수수수료</t>
  </si>
  <si>
    <t>-</t>
  </si>
  <si>
    <t>합 계</t>
  </si>
  <si>
    <t>* 기초자산 2025년 12월 26일 기표, 2026년 02월 09일 양수도 기준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</si>
</sst>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412]yyyy\/mm\/dd\/ddd"/>
    <numFmt numFmtId="165" formatCode="_-* #,##0_-;\-* #,##0_-;_-* &quot;-&quot;_-;_-@_-"/>
    <numFmt numFmtId="166" formatCode="&quot;연&quot;\ 0.00%"/>
    <numFmt numFmtId="167" formatCode="0.0%"/>
    <numFmt numFmtId="168" formatCode="0_);[Red]\(0\)"/>
  </numFmts>
  <fonts count="6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0"/>
      <name val="맑은 고딕"/>
    </font>
    <font>
      <b/>
      <sz val="14"/>
      <name val="맑은 고딕"/>
    </font>
    <font>
      <b/>
      <sz val="11"/>
      <name val="맑은 고딕"/>
    </font>
    <font>
      <sz val="11"/>
      <name val="맑은 고딕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/>
      <top style="medium"/>
      <bottom style="medium"/>
      <diagonal/>
    </border>
    <border>
      <left style="medium"/>
      <right/>
      <top style="medium"/>
      <bottom style="medium"/>
      <diagonal/>
    </border>
    <border>
      <left style="thin"/>
      <right style="thin"/>
      <top style="thin"/>
      <bottom style="thin"/>
      <diagonal/>
    </border>
    <border>
      <left/>
      <right/>
      <top style="dashed"/>
      <bottom style="dashed"/>
      <diagonal/>
    </border>
    <border>
      <left/>
      <right style="medium"/>
      <top style="dashed"/>
      <bottom style="dashed"/>
      <diagonal/>
    </border>
    <border>
      <left style="medium"/>
      <right/>
      <top style="medium"/>
      <bottom style="dotted"/>
      <diagonal/>
    </border>
    <border>
      <left style="medium"/>
      <right/>
      <top style="dotted"/>
      <bottom style="dotted"/>
      <diagonal/>
    </border>
    <border>
      <left/>
      <right style="medium"/>
      <top style="dashed"/>
      <bottom/>
      <diagonal/>
    </border>
    <border>
      <left/>
      <right/>
      <top style="dotted"/>
      <bottom style="dotted"/>
      <diagonal/>
    </border>
    <border>
      <left/>
      <right/>
      <top style="dashed"/>
      <bottom style="medium"/>
      <diagonal/>
    </border>
    <border>
      <left/>
      <right style="medium"/>
      <top style="dashed"/>
      <bottom style="medium"/>
      <diagonal/>
    </border>
    <border>
      <left style="medium"/>
      <right/>
      <top style="dotted"/>
      <bottom style="medium"/>
      <diagonal/>
    </border>
  </borders>
  <cellStyleXfs count="1">
    <xf numFmtId="0" fontId="0" fillId="0" borderId="0"/>
  </cellStyleXfs>
  <cellXfs count="38">
    <xf numFmtId="0" fontId="0" fillId="0" borderId="0" xfId="0"/>
    <xf numFmtId="14" fontId="1" fillId="0" borderId="0" xfId="0" applyNumberFormat="1" applyFont="1" applyAlignme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165" fontId="1" fillId="0" borderId="8" xfId="0" applyNumberFormat="1" applyFont="1" applyBorder="1" applyAlignment="1"/>
    <xf numFmtId="165" fontId="1" fillId="0" borderId="7" xfId="0" applyNumberFormat="1" applyFont="1" applyBorder="1" applyAlignment="1">
      <alignment horizontal="center"/>
    </xf>
    <xf numFmtId="165" fontId="1" fillId="0" borderId="9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14" fontId="1" fillId="0" borderId="12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165" fontId="1" fillId="0" borderId="3" xfId="0" applyNumberFormat="1" applyFont="1" applyBorder="1" applyAlignment="1">
      <alignment horizontal="center" wrapText="1"/>
    </xf>
    <xf numFmtId="164" fontId="1" fillId="0" borderId="3" xfId="0" applyNumberFormat="1" applyFont="1" applyBorder="1" applyAlignment="1">
      <alignment horizontal="center"/>
    </xf>
    <xf numFmtId="167" fontId="1" fillId="0" borderId="3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168" fontId="2" fillId="0" borderId="3" xfId="0" applyNumberFormat="1" applyFont="1" applyBorder="1" applyAlignment="1">
      <alignment horizontal="center"/>
    </xf>
    <xf numFmtId="165" fontId="2" fillId="0" borderId="3" xfId="0" applyNumberFormat="1" applyFont="1" applyBorder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8"/>
  <sheetFormatPr defaultRowHeight="15" outlineLevelRow="0" outlineLevelCol="0" x14ac:dyDescent="55"/>
  <cols>
    <col min="1" max="1" width="4.5" customWidth="1"/>
    <col min="2" max="2" width="16.25" customWidth="1"/>
    <col min="3" max="3" width="16.38" customWidth="1"/>
    <col min="5" max="5" width="19.12" customWidth="1"/>
    <col min="6" max="6" width="14.88" customWidth="1"/>
    <col min="7" max="7" width="12" customWidth="1"/>
    <col min="10" max="10" width="14.12" customWidth="1"/>
    <col min="11" max="12" width="14.38" customWidth="1"/>
    <col min="13" max="13" width="18.25" customWidth="1"/>
  </cols>
  <sheetData>
    <row r="1" ht="14.25" customHeight="1" spans="3:4" x14ac:dyDescent="0.25">
      <c r="C1" s="1"/>
      <c r="D1" s="1">
        <f>TODAY()</f>
      </c>
    </row>
    <row r="2" ht="20.45" customHeight="1" spans="2:13" x14ac:dyDescent="0.25">
      <c r="B2" s="2" t="s">
        <v>0</v>
      </c>
      <c r="C2" s="2"/>
      <c r="D2" s="2"/>
      <c r="E2" s="3" t="s">
        <v>1</v>
      </c>
      <c r="F2" s="3"/>
      <c r="H2" s="4" t="s">
        <v>2</v>
      </c>
      <c r="I2" s="4"/>
      <c r="J2" s="4"/>
      <c r="K2" s="4"/>
      <c r="L2" s="4"/>
      <c r="M2" s="4"/>
    </row>
    <row r="3" ht="20.45" customHeight="1" spans="2:13" x14ac:dyDescent="0.25">
      <c r="B3" s="5" t="s">
        <v>3</v>
      </c>
      <c r="C3" s="5"/>
      <c r="D3" s="6">
        <v>46104</v>
      </c>
      <c r="E3" s="7"/>
      <c r="F3" s="7"/>
      <c r="H3" s="4"/>
      <c r="I3" s="4"/>
      <c r="J3" s="4"/>
      <c r="K3" s="4"/>
      <c r="L3" s="4"/>
      <c r="M3" s="4"/>
    </row>
    <row r="4" ht="20.45" customHeight="1" spans="2:6" x14ac:dyDescent="0.25">
      <c r="B4" s="5" t="s">
        <v>4</v>
      </c>
      <c r="C4" s="5"/>
      <c r="D4" s="6" t="s">
        <v>5</v>
      </c>
      <c r="E4" s="8" t="s">
        <v>6</v>
      </c>
      <c r="F4" s="8"/>
    </row>
    <row r="5" ht="20.45" customHeight="1" spans="2:13" x14ac:dyDescent="0.25">
      <c r="B5" s="5" t="s">
        <v>7</v>
      </c>
      <c r="C5" s="5"/>
      <c r="D5" s="9">
        <v>4000000000</v>
      </c>
      <c r="E5" s="10"/>
      <c r="F5" s="11"/>
      <c r="H5" s="12" t="s">
        <v>8</v>
      </c>
      <c r="I5" s="12"/>
      <c r="J5" s="12" t="s">
        <v>9</v>
      </c>
      <c r="K5" s="12"/>
      <c r="L5" s="12" t="s">
        <v>10</v>
      </c>
      <c r="M5" s="12"/>
    </row>
    <row r="6" ht="20.45" customHeight="1" spans="2:13" x14ac:dyDescent="0.25">
      <c r="B6" s="5" t="s">
        <v>11</v>
      </c>
      <c r="C6" s="5"/>
      <c r="D6" s="13">
        <v>0.07</v>
      </c>
      <c r="E6" s="14" t="s">
        <v>12</v>
      </c>
      <c r="F6" s="14"/>
      <c r="H6" s="15" t="s">
        <v>13</v>
      </c>
      <c r="I6" s="15"/>
      <c r="J6" s="15" t="s">
        <v>14</v>
      </c>
      <c r="K6" s="15"/>
      <c r="L6" s="16" t="s">
        <v>15</v>
      </c>
      <c r="M6" s="16"/>
    </row>
    <row r="7" ht="20.45" customHeight="1" spans="2:13" x14ac:dyDescent="0.25">
      <c r="B7" s="5" t="s">
        <v>16</v>
      </c>
      <c r="C7" s="5"/>
      <c r="D7" s="17">
        <f>D5*2%</f>
      </c>
      <c r="E7" s="14" t="s">
        <v>17</v>
      </c>
      <c r="F7" s="14"/>
      <c r="H7" s="15"/>
      <c r="I7" s="15"/>
      <c r="J7" s="15"/>
      <c r="K7" s="15"/>
      <c r="L7" s="16"/>
      <c r="M7" s="16"/>
    </row>
    <row r="8" ht="45.75" customHeight="1" spans="2:6" x14ac:dyDescent="0.25">
      <c r="B8" s="5" t="s">
        <v>18</v>
      </c>
      <c r="C8" s="5"/>
      <c r="D8" s="18" t="s">
        <v>19</v>
      </c>
      <c r="E8" s="19" t="s">
        <v>20</v>
      </c>
      <c r="F8" s="19"/>
    </row>
    <row r="9" ht="20.45" customHeight="1" spans="2:6" x14ac:dyDescent="0.25">
      <c r="B9" s="20" t="s">
        <v>21</v>
      </c>
      <c r="C9" s="20"/>
      <c r="D9" s="21">
        <v>46288</v>
      </c>
      <c r="E9" s="22"/>
      <c r="F9" s="22"/>
    </row>
    <row r="10" spans="2:6" x14ac:dyDescent="0.25">
      <c r="C10"/>
      <c r="D10"/>
      <c r="E10"/>
      <c r="F10"/>
    </row>
    <row r="11" spans="8:13" x14ac:dyDescent="0.25">
      <c r="H11" s="1"/>
      <c r="M11" s="23" t="s">
        <v>22</v>
      </c>
    </row>
    <row r="12" ht="24" customHeight="1" spans="2:13" x14ac:dyDescent="0.25">
      <c r="B12" s="24" t="s">
        <v>23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</row>
    <row r="13" ht="23.25" customHeight="1" spans="2:13" x14ac:dyDescent="0.25">
      <c r="B13" s="25" t="s">
        <v>24</v>
      </c>
      <c r="C13" s="25" t="s">
        <v>25</v>
      </c>
      <c r="D13" s="25" t="s">
        <v>26</v>
      </c>
      <c r="E13" s="26" t="s">
        <v>27</v>
      </c>
      <c r="F13" s="25" t="s">
        <v>28</v>
      </c>
      <c r="G13" s="25" t="s">
        <v>29</v>
      </c>
      <c r="H13" s="25" t="s">
        <v>30</v>
      </c>
      <c r="I13" s="26" t="s">
        <v>31</v>
      </c>
      <c r="J13" s="26" t="s">
        <v>32</v>
      </c>
      <c r="K13" s="26" t="s">
        <v>33</v>
      </c>
      <c r="L13" s="26" t="s">
        <v>34</v>
      </c>
      <c r="M13" s="26" t="s">
        <v>1</v>
      </c>
    </row>
    <row r="14" ht="23.25" customHeight="1" spans="2:13" x14ac:dyDescent="0.25">
      <c r="B14" s="27" t="s">
        <v>35</v>
      </c>
      <c r="C14" s="27" t="s">
        <v>35</v>
      </c>
      <c r="D14" s="27" t="s">
        <v>35</v>
      </c>
      <c r="E14" s="28">
        <f>D3</f>
      </c>
      <c r="F14" s="27" t="s">
        <v>35</v>
      </c>
      <c r="G14" s="27" t="s">
        <v>35</v>
      </c>
      <c r="H14" s="27" t="s">
        <v>35</v>
      </c>
      <c r="I14" s="29" t="s">
        <v>35</v>
      </c>
      <c r="J14" s="30">
        <f>D5</f>
      </c>
      <c r="K14" s="30">
        <v>0</v>
      </c>
      <c r="L14" s="30">
        <f>D7</f>
      </c>
      <c r="M14" s="29"/>
    </row>
    <row r="15" ht="23.25" customHeight="1" spans="2:13" x14ac:dyDescent="0.25">
      <c r="B15" s="27">
        <v>1</v>
      </c>
      <c r="C15" s="31">
        <f>E14</f>
      </c>
      <c r="D15" s="31">
        <f>EDATE(C15,3)</f>
      </c>
      <c r="E15" s="28">
        <f>D15</f>
      </c>
      <c r="F15" s="27">
        <f>D15-C15</f>
      </c>
      <c r="G15" s="27">
        <f>F15</f>
      </c>
      <c r="H15" s="27">
        <v>0</v>
      </c>
      <c r="I15" s="32">
        <f>$D$6</f>
      </c>
      <c r="J15" s="30"/>
      <c r="K15" s="33">
        <f>ROUNDDOWN($D$5*I15*F15/365,0)</f>
      </c>
      <c r="L15" s="30"/>
      <c r="M15" s="29"/>
    </row>
    <row r="16" ht="23.25" customHeight="1" spans="2:13" x14ac:dyDescent="0.25">
      <c r="B16" s="27">
        <f>+B15+1</f>
      </c>
      <c r="C16" s="31">
        <f>D15</f>
      </c>
      <c r="D16" s="31">
        <f>EDATE(C16,3)</f>
      </c>
      <c r="E16" s="28">
        <f>D16</f>
      </c>
      <c r="F16" s="27">
        <f>D16-C16</f>
      </c>
      <c r="G16" s="27">
        <f>F16</f>
      </c>
      <c r="H16" s="27">
        <v>0</v>
      </c>
      <c r="I16" s="32">
        <f>$D$6</f>
      </c>
      <c r="J16" s="30"/>
      <c r="K16" s="33">
        <f>ROUNDDOWN($D$5*I16*F16/365,0)</f>
      </c>
      <c r="L16" s="30"/>
      <c r="M16" s="29"/>
    </row>
    <row r="17" ht="23.45" customHeight="1" spans="2:13" x14ac:dyDescent="0.25">
      <c r="B17" s="25" t="s">
        <v>36</v>
      </c>
      <c r="C17" s="25"/>
      <c r="D17" s="25"/>
      <c r="E17" s="25"/>
      <c r="F17" s="34">
        <f>SUM(F15:F16)</f>
      </c>
      <c r="G17" s="34">
        <f>SUM(G15:G16)</f>
      </c>
      <c r="H17" s="34">
        <f>SUM(H15:H16)</f>
      </c>
      <c r="I17" s="35"/>
      <c r="J17" s="36">
        <f>SUM(J14:J16)</f>
      </c>
      <c r="K17" s="36">
        <f>SUM(K14:K16)</f>
      </c>
      <c r="L17" s="36">
        <f>SUM(L14:L16)</f>
      </c>
      <c r="M17" s="36"/>
    </row>
    <row r="18" spans="2:2" x14ac:dyDescent="0.25">
      <c r="B18" s="37" t="s">
        <v>37</v>
      </c>
    </row>
  </sheetData>
  <mergeCells count="25">
    <mergeCell ref="B2:D2"/>
    <mergeCell ref="E2:F2"/>
    <mergeCell ref="H2:M3"/>
    <mergeCell ref="B3:C3"/>
    <mergeCell ref="E3:F3"/>
    <mergeCell ref="B4:C4"/>
    <mergeCell ref="E4:F4"/>
    <mergeCell ref="B5:C5"/>
    <mergeCell ref="H5:I5"/>
    <mergeCell ref="J5:K5"/>
    <mergeCell ref="L5:M5"/>
    <mergeCell ref="B6:C6"/>
    <mergeCell ref="E6:F6"/>
    <mergeCell ref="H6:I7"/>
    <mergeCell ref="J6:K7"/>
    <mergeCell ref="L6:M7"/>
    <mergeCell ref="B7:C7"/>
    <mergeCell ref="E7:F7"/>
    <mergeCell ref="B8:C8"/>
    <mergeCell ref="E8:F8"/>
    <mergeCell ref="B9:C9"/>
    <mergeCell ref="E9:F9"/>
    <mergeCell ref="B10:F10"/>
    <mergeCell ref="B12:M12"/>
    <mergeCell ref="B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이자지급 스케줄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2026-07-16T08:39:25Z</dcterms:created>
  <dcterms:modified xsi:type="dcterms:W3CDTF">2026-07-16T08:39:25Z</dcterms:modified>
</cp:coreProperties>
</file>