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이자 스케줄" state="visible" r:id="rId4"/>
  </sheets>
  <calcPr calcId="171027" fullCalcOnLoad="1"/>
</workbook>
</file>

<file path=xl/sharedStrings.xml><?xml version="1.0" encoding="utf-8"?>
<sst xmlns="http://schemas.openxmlformats.org/spreadsheetml/2006/main" count="58" uniqueCount="34">
  <si>
    <t>부성2지구 브릿지 대출 기초자산</t>
  </si>
  <si>
    <t>비고</t>
  </si>
  <si>
    <t>1회 사모사채</t>
  </si>
  <si>
    <t>대출실행일</t>
  </si>
  <si>
    <t/>
  </si>
  <si>
    <t>사모사채 발행일</t>
  </si>
  <si>
    <t>차주</t>
  </si>
  <si>
    <t>더함도시개발㈜</t>
  </si>
  <si>
    <t>발행 유형</t>
  </si>
  <si>
    <t>실물발행</t>
  </si>
  <si>
    <t>대출금액 (원)</t>
  </si>
  <si>
    <t>사모사채 발행금액(원)</t>
  </si>
  <si>
    <t>대출금리</t>
  </si>
  <si>
    <t>사모사채 발행금리</t>
  </si>
  <si>
    <t>참여수수료</t>
  </si>
  <si>
    <t>사모사채 인수수수료(원)</t>
  </si>
  <si>
    <t>이자지급일</t>
  </si>
  <si>
    <t>3개월 선취</t>
  </si>
  <si>
    <t>3개월 후취</t>
  </si>
  <si>
    <t>만기일</t>
  </si>
  <si>
    <t>지급날짜</t>
  </si>
  <si>
    <t>▶ 기초자산 이자지급 스케줄 (Cash-in)</t>
  </si>
  <si>
    <t>▶ 사모사채 이자지급 스케줄 (Cash-out)</t>
  </si>
  <si>
    <t>이자기간(초일)</t>
  </si>
  <si>
    <t>이자기간(말일)</t>
  </si>
  <si>
    <t>이자지급일(선취)</t>
  </si>
  <si>
    <t>이자계산일수</t>
  </si>
  <si>
    <t>윤년미적용</t>
  </si>
  <si>
    <t>윤년적용</t>
  </si>
  <si>
    <t>금리(연)</t>
  </si>
  <si>
    <t>이자금액(세전)</t>
  </si>
  <si>
    <t>이자지급일(후취)</t>
  </si>
  <si>
    <t>인수수수료</t>
  </si>
  <si>
    <t>합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</si>
</sst>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12]yyyy\/mm\/dd\/ddd"/>
    <numFmt numFmtId="165" formatCode="_-* #,##0_-;\-* #,##0_-;_-* &quot;-&quot;_-;_-@_-"/>
    <numFmt numFmtId="166" formatCode="&quot;연&quot;\ 0.00%"/>
  </numFmts>
  <fonts count="3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/>
      <right/>
      <top style="dashed"/>
      <bottom style="dashed"/>
      <diagonal/>
    </border>
    <border>
      <left/>
      <right style="medium"/>
      <top style="dashed"/>
      <bottom style="dashed"/>
      <diagonal/>
    </border>
    <border>
      <left style="medium"/>
      <right/>
      <top style="dotted"/>
      <bottom style="dotted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 wrapText="1"/>
    </xf>
    <xf numFmtId="164" fontId="1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10" fontId="1" fillId="0" borderId="6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9"/>
  <sheetFormatPr defaultRowHeight="15" outlineLevelRow="0" outlineLevelCol="0" x14ac:dyDescent="55"/>
  <cols>
    <col min="1" max="1" width="4.5" customWidth="1"/>
    <col min="2" max="2" width="13.8" customWidth="1"/>
    <col min="3" max="3" width="12.8" customWidth="1"/>
    <col min="4" max="4" width="29.6" customWidth="1"/>
    <col min="5" max="5" width="16.4" customWidth="1"/>
    <col min="6" max="6" width="12.9" customWidth="1"/>
    <col min="7" max="7" width="11.5" customWidth="1"/>
    <col min="8" max="8" width="9.8" customWidth="1"/>
    <col min="9" max="9" width="7.6" customWidth="1"/>
    <col min="10" max="10" width="15.1" customWidth="1"/>
    <col min="11" max="11" width="14.2" customWidth="1"/>
    <col min="12" max="12" width="12.2" customWidth="1"/>
    <col min="13" max="13" width="12.8" customWidth="1"/>
    <col min="14" max="14" width="17.8" customWidth="1"/>
    <col min="15" max="15" width="12.8" customWidth="1"/>
    <col min="16" max="16" width="14.5" customWidth="1"/>
    <col min="17" max="17" width="11.4" customWidth="1"/>
    <col min="18" max="18" width="9.8" customWidth="1"/>
    <col min="19" max="19" width="14.2" customWidth="1"/>
    <col min="20" max="20" width="12.8" customWidth="1"/>
  </cols>
  <sheetData>
    <row r="1" spans="2:2" x14ac:dyDescent="0.25">
      <c r="B1" s="1">
        <f>TODAY()</f>
      </c>
    </row>
    <row r="2" ht="18" customHeight="1" spans="2:16" x14ac:dyDescent="0.25">
      <c r="B2" s="2" t="s">
        <v>0</v>
      </c>
      <c r="C2" s="2"/>
      <c r="D2" s="2"/>
      <c r="E2" s="3" t="s">
        <v>1</v>
      </c>
      <c r="F2" s="3"/>
      <c r="L2" s="2" t="s">
        <v>2</v>
      </c>
      <c r="M2" s="2"/>
      <c r="N2" s="2"/>
      <c r="O2" s="3" t="s">
        <v>1</v>
      </c>
      <c r="P2" s="3"/>
    </row>
    <row r="3" ht="18" customHeight="1" spans="2:16" x14ac:dyDescent="0.25">
      <c r="B3" s="4" t="s">
        <v>3</v>
      </c>
      <c r="C3" s="4"/>
      <c r="D3" s="5">
        <v>46104</v>
      </c>
      <c r="E3" s="6" t="s">
        <v>4</v>
      </c>
      <c r="F3" s="6"/>
      <c r="L3" s="4" t="s">
        <v>5</v>
      </c>
      <c r="M3" s="4"/>
      <c r="N3" s="5">
        <v>46104</v>
      </c>
      <c r="O3" s="6" t="s">
        <v>4</v>
      </c>
      <c r="P3" s="6"/>
    </row>
    <row r="4" ht="18" customHeight="1" spans="2:16" x14ac:dyDescent="0.25">
      <c r="B4" s="4" t="s">
        <v>6</v>
      </c>
      <c r="C4" s="4"/>
      <c r="D4" s="7" t="s">
        <v>7</v>
      </c>
      <c r="E4" s="6" t="s">
        <v>4</v>
      </c>
      <c r="F4" s="6"/>
      <c r="L4" s="4" t="s">
        <v>8</v>
      </c>
      <c r="M4" s="4"/>
      <c r="N4" s="7" t="s">
        <v>9</v>
      </c>
      <c r="O4" s="6" t="s">
        <v>4</v>
      </c>
      <c r="P4" s="6"/>
    </row>
    <row r="5" ht="18" customHeight="1" spans="2:16" x14ac:dyDescent="0.25">
      <c r="B5" s="4" t="s">
        <v>10</v>
      </c>
      <c r="C5" s="4"/>
      <c r="D5" s="8">
        <v>4000000000</v>
      </c>
      <c r="E5" s="6" t="s">
        <v>4</v>
      </c>
      <c r="F5" s="6"/>
      <c r="L5" s="4" t="s">
        <v>11</v>
      </c>
      <c r="M5" s="4"/>
      <c r="N5" s="8">
        <v>4000000000</v>
      </c>
      <c r="O5" s="6" t="s">
        <v>4</v>
      </c>
      <c r="P5" s="6"/>
    </row>
    <row r="6" ht="18" customHeight="1" spans="2:16" x14ac:dyDescent="0.25">
      <c r="B6" s="4" t="s">
        <v>12</v>
      </c>
      <c r="C6" s="4"/>
      <c r="D6" s="9">
        <v>0.07</v>
      </c>
      <c r="E6" s="6" t="s">
        <v>4</v>
      </c>
      <c r="F6" s="6"/>
      <c r="L6" s="4" t="s">
        <v>13</v>
      </c>
      <c r="M6" s="4"/>
      <c r="N6" s="9">
        <v>0.07</v>
      </c>
      <c r="O6" s="6" t="s">
        <v>4</v>
      </c>
      <c r="P6" s="6"/>
    </row>
    <row r="7" ht="18" customHeight="1" spans="2:16" x14ac:dyDescent="0.25">
      <c r="B7" s="4" t="s">
        <v>14</v>
      </c>
      <c r="C7" s="4"/>
      <c r="D7" s="10">
        <v>0.05</v>
      </c>
      <c r="E7" s="6" t="s">
        <v>4</v>
      </c>
      <c r="F7" s="6"/>
      <c r="L7" s="4" t="s">
        <v>15</v>
      </c>
      <c r="M7" s="4"/>
      <c r="N7" s="10">
        <v>0.02</v>
      </c>
      <c r="O7" s="6" t="s">
        <v>4</v>
      </c>
      <c r="P7" s="6"/>
    </row>
    <row r="8" ht="18" customHeight="1" spans="2:16" x14ac:dyDescent="0.25">
      <c r="B8" s="4" t="s">
        <v>16</v>
      </c>
      <c r="C8" s="4"/>
      <c r="D8" s="7" t="s">
        <v>17</v>
      </c>
      <c r="E8" s="6" t="s">
        <v>4</v>
      </c>
      <c r="F8" s="6"/>
      <c r="L8" s="4" t="s">
        <v>16</v>
      </c>
      <c r="M8" s="4"/>
      <c r="N8" s="7" t="s">
        <v>18</v>
      </c>
      <c r="O8" s="6" t="s">
        <v>4</v>
      </c>
      <c r="P8" s="6"/>
    </row>
    <row r="9" ht="18" customHeight="1" spans="2:16" x14ac:dyDescent="0.25">
      <c r="B9" s="4" t="s">
        <v>19</v>
      </c>
      <c r="C9" s="4"/>
      <c r="D9" s="5">
        <v>46288</v>
      </c>
      <c r="E9" s="6" t="s">
        <v>4</v>
      </c>
      <c r="F9" s="6"/>
      <c r="L9" s="4" t="s">
        <v>19</v>
      </c>
      <c r="M9" s="4"/>
      <c r="N9" s="5">
        <v>46288</v>
      </c>
      <c r="O9" s="6" t="s">
        <v>4</v>
      </c>
      <c r="P9" s="6"/>
    </row>
    <row r="12" ht="20" customHeight="1" spans="2:20" x14ac:dyDescent="0.25">
      <c r="B12" s="11" t="s">
        <v>20</v>
      </c>
      <c r="C12" s="12" t="s">
        <v>21</v>
      </c>
      <c r="D12" s="12"/>
      <c r="E12" s="12"/>
      <c r="F12" s="12"/>
      <c r="G12" s="12"/>
      <c r="H12" s="12"/>
      <c r="I12" s="12"/>
      <c r="J12" s="12"/>
      <c r="K12" s="12"/>
      <c r="L12" s="12" t="s">
        <v>22</v>
      </c>
      <c r="M12" s="12"/>
      <c r="N12" s="12"/>
      <c r="O12" s="12"/>
      <c r="P12" s="12"/>
      <c r="Q12" s="12"/>
      <c r="R12" s="12"/>
      <c r="S12" s="12"/>
      <c r="T12" s="12"/>
    </row>
    <row r="13" ht="30" customHeight="1" spans="2:20" x14ac:dyDescent="0.25">
      <c r="B13" s="11"/>
      <c r="C13" s="13" t="s">
        <v>23</v>
      </c>
      <c r="D13" s="13" t="s">
        <v>24</v>
      </c>
      <c r="E13" s="13" t="s">
        <v>25</v>
      </c>
      <c r="F13" s="13" t="s">
        <v>26</v>
      </c>
      <c r="G13" s="13" t="s">
        <v>27</v>
      </c>
      <c r="H13" s="13" t="s">
        <v>28</v>
      </c>
      <c r="I13" s="13" t="s">
        <v>29</v>
      </c>
      <c r="J13" s="13" t="s">
        <v>14</v>
      </c>
      <c r="K13" s="13" t="s">
        <v>30</v>
      </c>
      <c r="L13" s="13" t="s">
        <v>23</v>
      </c>
      <c r="M13" s="13" t="s">
        <v>24</v>
      </c>
      <c r="N13" s="13" t="s">
        <v>31</v>
      </c>
      <c r="O13" s="13" t="s">
        <v>26</v>
      </c>
      <c r="P13" s="13" t="s">
        <v>27</v>
      </c>
      <c r="Q13" s="13" t="s">
        <v>28</v>
      </c>
      <c r="R13" s="13" t="s">
        <v>29</v>
      </c>
      <c r="S13" s="13" t="s">
        <v>32</v>
      </c>
      <c r="T13" s="13" t="s">
        <v>30</v>
      </c>
    </row>
    <row r="14" spans="2:20" x14ac:dyDescent="0.25">
      <c r="B14" s="14">
        <v>46104</v>
      </c>
      <c r="C14" s="15">
        <f>D3</f>
      </c>
      <c r="D14" s="15">
        <f>MIN(EDATE(C14,3),$D$9)</f>
      </c>
      <c r="E14" s="15">
        <f>C14</f>
      </c>
      <c r="F14" s="16">
        <f>D14-C14</f>
      </c>
      <c r="G14" s="16">
        <f>F14</f>
      </c>
      <c r="H14" s="16">
        <v>0</v>
      </c>
      <c r="I14" s="17">
        <f>$D$6</f>
      </c>
      <c r="J14" s="16">
        <f>$D$5*$D$7</f>
      </c>
      <c r="K14" s="18">
        <f>ROUNDDOWN($D$5*I14*G14/365,0)</f>
      </c>
      <c r="L14" s="15">
        <f>N3</f>
      </c>
      <c r="M14" s="19"/>
      <c r="N14" s="19"/>
      <c r="O14" s="19"/>
      <c r="P14" s="19"/>
      <c r="Q14" s="19"/>
      <c r="R14" s="19"/>
      <c r="S14" s="18">
        <f>$N$7*$N$5</f>
      </c>
      <c r="T14" s="18">
        <v>0</v>
      </c>
    </row>
    <row r="15" spans="2:20" x14ac:dyDescent="0.25">
      <c r="B15" s="14">
        <v>46196</v>
      </c>
      <c r="C15" s="15">
        <f>D14</f>
      </c>
      <c r="D15" s="15">
        <f>MIN(EDATE(C15,1),$D$9)</f>
      </c>
      <c r="E15" s="15">
        <f>C15</f>
      </c>
      <c r="F15" s="16">
        <f>D15-C15</f>
      </c>
      <c r="G15" s="16">
        <f>F15</f>
      </c>
      <c r="H15" s="16">
        <v>0</v>
      </c>
      <c r="I15" s="17">
        <f>$D$6</f>
      </c>
      <c r="J15" s="18"/>
      <c r="K15" s="18">
        <f>ROUNDDOWN($D$5*I15*G15/365,0)</f>
      </c>
      <c r="L15" s="15">
        <f>N3</f>
      </c>
      <c r="M15" s="15">
        <f>MIN(EDATE(L15,3),$N$9)</f>
      </c>
      <c r="N15" s="15">
        <f>M15</f>
      </c>
      <c r="O15" s="16">
        <f>M15-L15</f>
      </c>
      <c r="P15" s="16">
        <f>O15</f>
      </c>
      <c r="Q15" s="16">
        <v>0</v>
      </c>
      <c r="R15" s="17">
        <f>$N$6</f>
      </c>
      <c r="S15" s="18"/>
      <c r="T15" s="18">
        <f>ROUNDDOWN($N$5*R15*P15/365,0)</f>
      </c>
    </row>
    <row r="16" spans="2:20" x14ac:dyDescent="0.25">
      <c r="B16" s="14">
        <v>46226</v>
      </c>
      <c r="C16" s="15">
        <f>D15</f>
      </c>
      <c r="D16" s="15">
        <f>MIN(EDATE(C16,1),$D$9)</f>
      </c>
      <c r="E16" s="15">
        <f>C16</f>
      </c>
      <c r="F16" s="16">
        <f>D16-C16</f>
      </c>
      <c r="G16" s="16">
        <f>F16</f>
      </c>
      <c r="H16" s="16">
        <v>0</v>
      </c>
      <c r="I16" s="17">
        <f>$D$6</f>
      </c>
      <c r="J16" s="18"/>
      <c r="K16" s="18">
        <f>ROUNDDOWN($D$5*I16*G16/365,0)</f>
      </c>
      <c r="L16" s="19"/>
      <c r="M16" s="19"/>
      <c r="N16" s="19"/>
      <c r="O16" s="19"/>
      <c r="P16" s="19"/>
      <c r="Q16" s="19"/>
      <c r="R16" s="19"/>
      <c r="S16" s="19"/>
      <c r="T16" s="19"/>
    </row>
    <row r="17" spans="2:20" x14ac:dyDescent="0.25">
      <c r="B17" s="14">
        <v>46257</v>
      </c>
      <c r="C17" s="15">
        <f>D16</f>
      </c>
      <c r="D17" s="15">
        <f>MIN(EDATE(C17,1),$D$9)</f>
      </c>
      <c r="E17" s="15">
        <f>C17</f>
      </c>
      <c r="F17" s="16">
        <f>D17-C17</f>
      </c>
      <c r="G17" s="16">
        <f>F17</f>
      </c>
      <c r="H17" s="16">
        <v>0</v>
      </c>
      <c r="I17" s="17">
        <f>$D$6</f>
      </c>
      <c r="J17" s="18"/>
      <c r="K17" s="18">
        <f>ROUNDDOWN($D$5*I17*G17/365,0)</f>
      </c>
      <c r="L17" s="19"/>
      <c r="M17" s="19"/>
      <c r="N17" s="19"/>
      <c r="O17" s="19"/>
      <c r="P17" s="19"/>
      <c r="Q17" s="19"/>
      <c r="R17" s="19"/>
      <c r="S17" s="19"/>
      <c r="T17" s="19"/>
    </row>
    <row r="18" spans="2:20" x14ac:dyDescent="0.25">
      <c r="B18" s="14">
        <v>46288</v>
      </c>
      <c r="C18" s="19"/>
      <c r="D18" s="19"/>
      <c r="E18" s="19"/>
      <c r="F18" s="19"/>
      <c r="G18" s="19"/>
      <c r="H18" s="19"/>
      <c r="I18" s="19"/>
      <c r="J18" s="19"/>
      <c r="K18" s="19"/>
      <c r="L18" s="15">
        <f>M15</f>
      </c>
      <c r="M18" s="15">
        <f>MIN(EDATE(L18,3),$N$9)</f>
      </c>
      <c r="N18" s="15">
        <f>M18</f>
      </c>
      <c r="O18" s="16">
        <f>M18-L18</f>
      </c>
      <c r="P18" s="16">
        <f>O18</f>
      </c>
      <c r="Q18" s="16">
        <v>0</v>
      </c>
      <c r="R18" s="17">
        <f>$N$6</f>
      </c>
      <c r="S18" s="18"/>
      <c r="T18" s="18">
        <f>ROUNDDOWN($N$5*R18*P18/365,0)</f>
      </c>
    </row>
    <row r="19" spans="2:20" x14ac:dyDescent="0.25">
      <c r="B19" s="11" t="s">
        <v>33</v>
      </c>
      <c r="C19" s="11"/>
      <c r="D19" s="11"/>
      <c r="E19" s="11"/>
      <c r="F19" s="20">
        <f>SUM(F14:F18)</f>
      </c>
      <c r="G19" s="20">
        <f>SUM(G14:G18)</f>
      </c>
      <c r="H19" s="20">
        <f>SUM(H14:H18)</f>
      </c>
      <c r="I19" s="21"/>
      <c r="J19" s="22">
        <f>SUM(J14:J18)</f>
      </c>
      <c r="K19" s="22">
        <f>SUM(K14:K18)</f>
      </c>
      <c r="L19" s="23"/>
      <c r="M19" s="23"/>
      <c r="N19" s="23"/>
      <c r="O19" s="20">
        <f>SUM(O14:O18)</f>
      </c>
      <c r="P19" s="20">
        <f>SUM(P14:P18)</f>
      </c>
      <c r="Q19" s="20">
        <f>SUM(Q14:Q18)</f>
      </c>
      <c r="R19" s="23"/>
      <c r="S19" s="22">
        <f>SUM(S14:S18)</f>
      </c>
      <c r="T19" s="22">
        <f>SUM(T14:T18)</f>
      </c>
    </row>
  </sheetData>
  <mergeCells count="36">
    <mergeCell ref="B2:D2"/>
    <mergeCell ref="E2:F2"/>
    <mergeCell ref="L2:N2"/>
    <mergeCell ref="O2:P2"/>
    <mergeCell ref="B3:C3"/>
    <mergeCell ref="E3:F3"/>
    <mergeCell ref="L3:M3"/>
    <mergeCell ref="O3:P3"/>
    <mergeCell ref="B4:C4"/>
    <mergeCell ref="E4:F4"/>
    <mergeCell ref="L4:M4"/>
    <mergeCell ref="O4:P4"/>
    <mergeCell ref="B5:C5"/>
    <mergeCell ref="E5:F5"/>
    <mergeCell ref="L5:M5"/>
    <mergeCell ref="O5:P5"/>
    <mergeCell ref="B6:C6"/>
    <mergeCell ref="E6:F6"/>
    <mergeCell ref="L6:M6"/>
    <mergeCell ref="O6:P6"/>
    <mergeCell ref="B7:C7"/>
    <mergeCell ref="E7:F7"/>
    <mergeCell ref="L7:M7"/>
    <mergeCell ref="O7:P7"/>
    <mergeCell ref="B8:C8"/>
    <mergeCell ref="E8:F8"/>
    <mergeCell ref="L8:M8"/>
    <mergeCell ref="O8:P8"/>
    <mergeCell ref="B9:C9"/>
    <mergeCell ref="E9:F9"/>
    <mergeCell ref="L9:M9"/>
    <mergeCell ref="O9:P9"/>
    <mergeCell ref="C12:K12"/>
    <mergeCell ref="L12:T12"/>
    <mergeCell ref="B12:B13"/>
    <mergeCell ref="B19:E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이자 스케줄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2026-07-20T01:24:51Z</dcterms:created>
  <dcterms:modified xsi:type="dcterms:W3CDTF">2026-07-20T01:24:51Z</dcterms:modified>
</cp:coreProperties>
</file>